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 Projects\Biomed market research\"/>
    </mc:Choice>
  </mc:AlternateContent>
  <xr:revisionPtr revIDLastSave="0" documentId="13_ncr:1_{62687486-EEE3-4D88-BC5C-19CA845F3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ndVSrevenue" sheetId="5" r:id="rId1"/>
    <sheet name="MarketScore" sheetId="4" r:id="rId2"/>
    <sheet name="Yearly Clearances" sheetId="1" r:id="rId3"/>
    <sheet name="Device Categories" sheetId="2" r:id="rId4"/>
    <sheet name="Top Companies" sheetId="3" r:id="rId5"/>
  </sheets>
  <definedNames>
    <definedName name="ExternalData_1" localSheetId="1" hidden="1">MarketScore!$A$1:$F$16</definedName>
    <definedName name="ExternalData_2" localSheetId="0" hidden="1">'rndVSrevenue'!$A$1:$F$99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8D730-D80D-4361-BDED-662A4661F0AD}" keepAlive="1" name="Query - MarketScore" description="Connection to the 'MarketScore' query in the workbook." type="5" refreshedVersion="8" background="1" saveData="1">
    <dbPr connection="Provider=Microsoft.Mashup.OleDb.1;Data Source=$Workbook$;Location=MarketScore;Extended Properties=&quot;&quot;" command="SELECT * FROM [MarketScore]"/>
  </connection>
  <connection id="2" xr16:uid="{5FA2AECD-E03B-489F-8226-4193358A7D96}" keepAlive="1" name="Query - rndVSrevenue" description="Connection to the 'rndVSrevenue' query in the workbook." type="5" refreshedVersion="8" background="1" saveData="1">
    <dbPr connection="Provider=Microsoft.Mashup.OleDb.1;Data Source=$Workbook$;Location=rndVSrevenue;Extended Properties=&quot;&quot;" command="SELECT * FROM [rndVSrevenue]"/>
  </connection>
</connections>
</file>

<file path=xl/sharedStrings.xml><?xml version="1.0" encoding="utf-8"?>
<sst xmlns="http://schemas.openxmlformats.org/spreadsheetml/2006/main" count="171" uniqueCount="62">
  <si>
    <t>decision_year</t>
  </si>
  <si>
    <t>clearances</t>
  </si>
  <si>
    <t>category</t>
  </si>
  <si>
    <t>Orthopedic</t>
  </si>
  <si>
    <t>Radiology</t>
  </si>
  <si>
    <t>General, Plastic Surgery</t>
  </si>
  <si>
    <t>Cardiovascular</t>
  </si>
  <si>
    <t>Dental</t>
  </si>
  <si>
    <t>General Hospital</t>
  </si>
  <si>
    <t>Gastroenterology, Urology</t>
  </si>
  <si>
    <t>Neurology</t>
  </si>
  <si>
    <t>Obstetrics/Gynecology</t>
  </si>
  <si>
    <t>Clinical Chemistry</t>
  </si>
  <si>
    <t>Microbiology</t>
  </si>
  <si>
    <t>Anesthesiology</t>
  </si>
  <si>
    <t>Unknown</t>
  </si>
  <si>
    <t>Physical Medicine</t>
  </si>
  <si>
    <t>Ophthalmic</t>
  </si>
  <si>
    <t>Ear, Nose, Throat</t>
  </si>
  <si>
    <t>Hematology</t>
  </si>
  <si>
    <t>Immunology</t>
  </si>
  <si>
    <t>Clinical Toxicology</t>
  </si>
  <si>
    <t>Medical Genetics</t>
  </si>
  <si>
    <t>company</t>
  </si>
  <si>
    <t>Siemens Medical Solutions USA, Inc.</t>
  </si>
  <si>
    <t>Boston Scientific Corporation</t>
  </si>
  <si>
    <t>Cook Incorporated</t>
  </si>
  <si>
    <t>Stryker Corporation</t>
  </si>
  <si>
    <t>Medtronic, Inc.</t>
  </si>
  <si>
    <t>Biomet, Inc.</t>
  </si>
  <si>
    <t>Smith &amp; Nephew, Inc.</t>
  </si>
  <si>
    <t>Olympus Medical Systems Corp.</t>
  </si>
  <si>
    <t>Medacta International S.A.</t>
  </si>
  <si>
    <t>Life Spine, Inc.</t>
  </si>
  <si>
    <t>Intuitive Surgical, Inc.</t>
  </si>
  <si>
    <t>ETHICON, Inc.</t>
  </si>
  <si>
    <t>C.R. Bard, Inc.</t>
  </si>
  <si>
    <t>Brainlab AG</t>
  </si>
  <si>
    <t>Arthrex, Inc.</t>
  </si>
  <si>
    <t>Zimmer, Inc.</t>
  </si>
  <si>
    <t>Waldemar Link GmbH &amp; Co. KG</t>
  </si>
  <si>
    <t>Tandem Diabetes Care, Inc.</t>
  </si>
  <si>
    <t>Synthes (USA) Products, LLC</t>
  </si>
  <si>
    <t>Shenzhen Mindray Bio-Medical Electronics Co., Ltd.</t>
  </si>
  <si>
    <t>adverse_events</t>
  </si>
  <si>
    <t>risk_ratio</t>
  </si>
  <si>
    <t>active_trials</t>
  </si>
  <si>
    <t>opportunity_score</t>
  </si>
  <si>
    <t>year</t>
  </si>
  <si>
    <t>revenue_bn</t>
  </si>
  <si>
    <t>net_income_bn</t>
  </si>
  <si>
    <t>rd_spending_bn</t>
  </si>
  <si>
    <t>rd_intensity_pct</t>
  </si>
  <si>
    <t>Abbott</t>
  </si>
  <si>
    <t>Becton_Dickinson</t>
  </si>
  <si>
    <t>Boston_Scientific</t>
  </si>
  <si>
    <t>Dexcom</t>
  </si>
  <si>
    <t>Edwards_Lifesciences</t>
  </si>
  <si>
    <t>Hologic</t>
  </si>
  <si>
    <t>Intuitive_Surgical</t>
  </si>
  <si>
    <t>Stryker</t>
  </si>
  <si>
    <t>Zimmer_Biomet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</si>
</sst>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2EC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Abbott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'rndVSrevenue'!$B$36:$B$44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'rndVSrevenue'!$C$4:$C$12</c:f>
              <c:numCache>
                <c:formatCode>General</c:formatCode>
                <c:ptCount val="9"/>
                <c:pt idx="0">
                  <c:v>27.39</c:v>
                </c:pt>
                <c:pt idx="1">
                  <c:v>30.577999999999999</c:v>
                </c:pt>
                <c:pt idx="2">
                  <c:v>31.904</c:v>
                </c:pt>
                <c:pt idx="3">
                  <c:v>34.607999999999997</c:v>
                </c:pt>
                <c:pt idx="4">
                  <c:v>43.075000000000003</c:v>
                </c:pt>
                <c:pt idx="5">
                  <c:v>43.652999999999999</c:v>
                </c:pt>
                <c:pt idx="6">
                  <c:v>40.109000000000002</c:v>
                </c:pt>
                <c:pt idx="7">
                  <c:v>41.95</c:v>
                </c:pt>
                <c:pt idx="8">
                  <c:v>44.328000000000003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6C-49FE-8BAE-06278C5BFD11}"/>
            </c:ext>
          </c:extLst>
        </c:ser>
        <c:ser>
          <c:idx val="1"/>
          <c:order val="1"/>
          <c:tx>
            <c:v>Edwards Lifesciences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'rndVSrevenue'!$B$36:$B$44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'rndVSrevenue'!$C$47:$C$55</c:f>
              <c:numCache>
                <c:formatCode>General</c:formatCode>
                <c:ptCount val="9"/>
                <c:pt idx="0">
                  <c:v>3.4350000000000001</c:v>
                </c:pt>
                <c:pt idx="1">
                  <c:v>3.7229999999999999</c:v>
                </c:pt>
                <c:pt idx="2">
                  <c:v>4.3479999999999999</c:v>
                </c:pt>
                <c:pt idx="3">
                  <c:v>4.3860000000000001</c:v>
                </c:pt>
                <c:pt idx="4">
                  <c:v>5.2320000000000002</c:v>
                </c:pt>
                <c:pt idx="5">
                  <c:v>5.3819999999999997</c:v>
                </c:pt>
                <c:pt idx="6">
                  <c:v>6.0049999999999999</c:v>
                </c:pt>
                <c:pt idx="7">
                  <c:v>5.4390000000000001</c:v>
                </c:pt>
                <c:pt idx="8">
                  <c:v>6.0679999999999996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6C-49FE-8BAE-06278C5BFD11}"/>
            </c:ext>
          </c:extLst>
        </c:ser>
        <c:ser>
          <c:idx val="2"/>
          <c:order val="2"/>
          <c:tx>
            <c:v>Intuitive Surgical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'rndVSrevenue'!$B$36:$B$44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'rndVSrevenue'!$C$69:$C$77</c:f>
              <c:numCache>
                <c:formatCode>General</c:formatCode>
                <c:ptCount val="9"/>
                <c:pt idx="0">
                  <c:v>3.1379999999999999</c:v>
                </c:pt>
                <c:pt idx="1">
                  <c:v>3.7240000000000002</c:v>
                </c:pt>
                <c:pt idx="2">
                  <c:v>4.4790000000000001</c:v>
                </c:pt>
                <c:pt idx="3">
                  <c:v>4.3579999999999997</c:v>
                </c:pt>
                <c:pt idx="4">
                  <c:v>5.71</c:v>
                </c:pt>
                <c:pt idx="5">
                  <c:v>6.2220000000000004</c:v>
                </c:pt>
                <c:pt idx="6">
                  <c:v>7.1239999999999997</c:v>
                </c:pt>
                <c:pt idx="7">
                  <c:v>8.3520000000000003</c:v>
                </c:pt>
                <c:pt idx="8">
                  <c:v>10.065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6C-49FE-8BAE-06278C5BFD11}"/>
            </c:ext>
          </c:extLst>
        </c:ser>
        <c:ser>
          <c:idx val="3"/>
          <c:order val="3"/>
          <c:tx>
            <c:v>Stryker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'rndVSrevenue'!$B$36:$B$44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'rndVSrevenue'!$C$80:$C$88</c:f>
              <c:numCache>
                <c:formatCode>General</c:formatCode>
                <c:ptCount val="9"/>
                <c:pt idx="0">
                  <c:v>12.444000000000001</c:v>
                </c:pt>
                <c:pt idx="1">
                  <c:v>13.601000000000001</c:v>
                </c:pt>
                <c:pt idx="2">
                  <c:v>14.884</c:v>
                </c:pt>
                <c:pt idx="3">
                  <c:v>14.351000000000001</c:v>
                </c:pt>
                <c:pt idx="4">
                  <c:v>17.108000000000001</c:v>
                </c:pt>
                <c:pt idx="5">
                  <c:v>18.449000000000002</c:v>
                </c:pt>
                <c:pt idx="6">
                  <c:v>20.498000000000001</c:v>
                </c:pt>
                <c:pt idx="7">
                  <c:v>22.594999999999999</c:v>
                </c:pt>
                <c:pt idx="8">
                  <c:v>25.116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6C-49FE-8BAE-06278C5BFD11}"/>
            </c:ext>
          </c:extLst>
        </c:ser>
        <c:ser>
          <c:idx val="4"/>
          <c:order val="4"/>
          <c:tx>
            <c:v>Dexcom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'rndVSrevenue'!$B$36:$B$44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'rndVSrevenue'!$C$36:$C$44</c:f>
              <c:numCache>
                <c:formatCode>General</c:formatCode>
                <c:ptCount val="9"/>
                <c:pt idx="0">
                  <c:v>0.13300000000000001</c:v>
                </c:pt>
                <c:pt idx="1">
                  <c:v>0.17499999999999999</c:v>
                </c:pt>
                <c:pt idx="2">
                  <c:v>0.23</c:v>
                </c:pt>
                <c:pt idx="3">
                  <c:v>0.216</c:v>
                </c:pt>
                <c:pt idx="4">
                  <c:v>0.502</c:v>
                </c:pt>
                <c:pt idx="5">
                  <c:v>0.70099999999999996</c:v>
                </c:pt>
                <c:pt idx="6">
                  <c:v>0.89100000000000001</c:v>
                </c:pt>
                <c:pt idx="7">
                  <c:v>0.629</c:v>
                </c:pt>
                <c:pt idx="8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6C-49FE-8BAE-06278C5B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559248"/>
        <c:axId val="541301432"/>
      </c:lineChart>
      <c:catAx>
        <c:axId val="55155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01432"/>
        <c:crosses val="autoZero"/>
        <c:auto val="1"/>
        <c:lblAlgn val="ctr"/>
        <c:lblOffset val="100"/>
        <c:noMultiLvlLbl val="0"/>
      </c:catAx>
      <c:valAx>
        <c:axId val="54130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5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MarketScore!$F$1</c:f>
              <c:strCache>
                <c:ptCount val="1"/>
                <c:pt idx="0">
                  <c:v>opportunity_score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A3-4524-A65F-BABE222B24F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A3-4524-A65F-BABE222B24FA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A3-4524-A65F-BABE222B24FA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A3-4524-A65F-BABE222B24F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A3-4524-A65F-BABE222B24FA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A3-4524-A65F-BABE222B24FA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A3-4524-A65F-BABE222B24FA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A3-4524-A65F-BABE222B24FA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A3-4524-A65F-BABE222B24FA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FA3-4524-A65F-BABE222B24FA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A3-4524-A65F-BABE222B24FA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FA3-4524-A65F-BABE222B24FA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FA3-4524-A65F-BABE222B24FA}"/>
              </c:ext>
            </c:extLst>
          </c:dPt>
          <c:dLbls>
            <c:dLbl>
              <c:idx val="13"/>
              <c:layout>
                <c:manualLayout>
                  <c:x val="-5.033905102208818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A3-4524-A65F-BABE222B24FA}"/>
                </c:ext>
              </c:extLst>
            </c:dLbl>
            <c:dLbl>
              <c:idx val="14"/>
              <c:layout>
                <c:manualLayout>
                  <c:x val="-6.041354665179810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FA3-4524-A65F-BABE222B24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MarketScore!$A$2:$A$16</c:f>
              <c:strCache>
                <c:ptCount val="15"/>
                <c:pt idx="0">
                  <c:v>Dental</c:v>
                </c:pt>
                <c:pt idx="1">
                  <c:v>Radiology</c:v>
                </c:pt>
                <c:pt idx="2">
                  <c:v>Orthopedic</c:v>
                </c:pt>
                <c:pt idx="3">
                  <c:v>Cardiovascular</c:v>
                </c:pt>
                <c:pt idx="4">
                  <c:v>Microbiology</c:v>
                </c:pt>
                <c:pt idx="5">
                  <c:v>Obstetrics/Gynecology</c:v>
                </c:pt>
                <c:pt idx="6">
                  <c:v>Ophthalmic</c:v>
                </c:pt>
                <c:pt idx="7">
                  <c:v>Unknown</c:v>
                </c:pt>
                <c:pt idx="8">
                  <c:v>Neurology</c:v>
                </c:pt>
                <c:pt idx="9">
                  <c:v>Immunology</c:v>
                </c:pt>
                <c:pt idx="10">
                  <c:v>Clinical Toxicology</c:v>
                </c:pt>
                <c:pt idx="11">
                  <c:v>Physical Medicine</c:v>
                </c:pt>
                <c:pt idx="12">
                  <c:v>Ear, Nose, Throat</c:v>
                </c:pt>
                <c:pt idx="13">
                  <c:v>Hematology</c:v>
                </c:pt>
                <c:pt idx="14">
                  <c:v>General, Plastic Surgery</c:v>
                </c:pt>
              </c:strCache>
            </c:strRef>
          </c:cat>
          <c:val>
            <c:numRef>
              <c:f>MarketScore!$F$2:$F$16</c:f>
              <c:numCache>
                <c:formatCode>General</c:formatCode>
                <c:ptCount val="15"/>
                <c:pt idx="0">
                  <c:v>16.100000000000001</c:v>
                </c:pt>
                <c:pt idx="1">
                  <c:v>10</c:v>
                </c:pt>
                <c:pt idx="2">
                  <c:v>4.3</c:v>
                </c:pt>
                <c:pt idx="3">
                  <c:v>3.8</c:v>
                </c:pt>
                <c:pt idx="4">
                  <c:v>1.1000000000000001</c:v>
                </c:pt>
                <c:pt idx="5">
                  <c:v>1</c:v>
                </c:pt>
                <c:pt idx="6">
                  <c:v>0.7</c:v>
                </c:pt>
                <c:pt idx="7">
                  <c:v>0.5</c:v>
                </c:pt>
                <c:pt idx="8">
                  <c:v>0.4</c:v>
                </c:pt>
                <c:pt idx="9">
                  <c:v>0.4</c:v>
                </c:pt>
                <c:pt idx="10">
                  <c:v>0.3</c:v>
                </c:pt>
                <c:pt idx="11">
                  <c:v>0</c:v>
                </c:pt>
                <c:pt idx="12">
                  <c:v>0</c:v>
                </c:pt>
                <c:pt idx="13">
                  <c:v>-0.2</c:v>
                </c:pt>
                <c:pt idx="14">
                  <c:v>-0.4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3-4524-A65F-BABE222B2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3908704"/>
        <c:axId val="613909064"/>
      </c:barChart>
      <c:catAx>
        <c:axId val="61390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09064"/>
        <c:crosses val="autoZero"/>
        <c:auto val="1"/>
        <c:lblAlgn val="ctr"/>
        <c:lblOffset val="100"/>
        <c:noMultiLvlLbl val="0"/>
      </c:catAx>
      <c:valAx>
        <c:axId val="613909064"/>
        <c:scaling>
          <c:orientation val="minMax"/>
          <c:max val="17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0870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Clearances</c:v>
          </c:tx>
          <c:spPr>
            <a:solidFill>
              <a:srgbClr val="2EC4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'Yearly Clearances'!$A$2:$A$13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'Yearly Clearances'!$B$2:$B$13</c:f>
              <c:numCache>
                <c:formatCode>General</c:formatCode>
                <c:ptCount val="12"/>
                <c:pt idx="0">
                  <c:v>98</c:v>
                </c:pt>
                <c:pt idx="1">
                  <c:v>106</c:v>
                </c:pt>
                <c:pt idx="2">
                  <c:v>119</c:v>
                </c:pt>
                <c:pt idx="3">
                  <c:v>84</c:v>
                </c:pt>
                <c:pt idx="4">
                  <c:v>66</c:v>
                </c:pt>
                <c:pt idx="5">
                  <c:v>72</c:v>
                </c:pt>
                <c:pt idx="6">
                  <c:v>83</c:v>
                </c:pt>
                <c:pt idx="7">
                  <c:v>71</c:v>
                </c:pt>
                <c:pt idx="8">
                  <c:v>103</c:v>
                </c:pt>
                <c:pt idx="9">
                  <c:v>75</c:v>
                </c:pt>
                <c:pt idx="10">
                  <c:v>107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9-413A-81AE-A515B8447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72659472"/>
        <c:axId val="472659832"/>
      </c:barChart>
      <c:catAx>
        <c:axId val="47265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59832"/>
        <c:crosses val="autoZero"/>
        <c:auto val="1"/>
        <c:lblAlgn val="ctr"/>
        <c:lblOffset val="100"/>
        <c:noMultiLvlLbl val="0"/>
      </c:catAx>
      <c:valAx>
        <c:axId val="47265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5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4</xdr:row>
      <xdr:rowOff>19050</xdr:rowOff>
    </xdr:from>
    <xdr:to>
      <xdr:col>18</xdr:col>
      <xdr:colOff>121020</xdr:colOff>
      <xdr:row>19</xdr:row>
      <xdr:rowOff>155850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20B6E-D1C8-1A26-7968-303129475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0</xdr:row>
      <xdr:rowOff>125730</xdr:rowOff>
    </xdr:from>
    <xdr:to>
      <xdr:col>18</xdr:col>
      <xdr:colOff>208227</xdr:colOff>
      <xdr:row>20</xdr:row>
      <xdr:rowOff>56841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1590C-9211-EE64-CA4A-0C1A60734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156210</xdr:rowOff>
    </xdr:from>
    <xdr:to>
      <xdr:col>11</xdr:col>
      <xdr:colOff>365760</xdr:colOff>
      <xdr:row>16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839F91-E457-A33B-67DE-DADBB3B6E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4D39992-98B1-40A6-B0FF-943F31C5928B}" autoFormatId="16" applyNumberFormats="0" applyBorderFormats="0" applyFontFormats="0" applyPatternFormats="0" applyAlignmentFormats="0" applyWidthHeightFormats="0">
  <queryTableRefresh nextId="7">
    <queryTableFields count="6">
      <queryTableField id="1" name="company" tableColumnId="1"/>
      <queryTableField id="2" name="year" tableColumnId="2"/>
      <queryTableField id="3" name="revenue_bn" tableColumnId="3"/>
      <queryTableField id="4" name="net_income_bn" tableColumnId="4"/>
      <queryTableField id="5" name="rd_spending_bn" tableColumnId="5"/>
      <queryTableField id="6" name="rd_intensity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7825C3-5D89-42E1-AAEA-45C0ACF63623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1"/>
      <queryTableField id="2" name="clearances" tableColumnId="2"/>
      <queryTableField id="3" name="adverse_events" tableColumnId="3"/>
      <queryTableField id="4" name="risk_ratio" tableColumnId="4"/>
      <queryTableField id="5" name="active_trials" tableColumnId="5"/>
      <queryTableField id="6" name="opportunity_scor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358ED-0297-4C1A-BD08-977D50832CD5}" name="rndVSrevenue" displayName="rndVSrevenue" ref="A1:F99" tableType="queryTable" totalsRowShown="0">
  <autoFilter ref="A1:F99" xr:uid="{308358ED-0297-4C1A-BD08-977D50832CD5}"/>
  <tableColumns count="6">
    <tableColumn id="1" xr3:uid="{1177EC40-2125-4B80-BC0D-F3AE4647B508}" uniqueName="1" name="company" queryTableFieldId="1" dataDxfId="0"/>
    <tableColumn id="2" xr3:uid="{808B5742-1915-4D77-B548-68540DFE7DB1}" uniqueName="2" name="year" queryTableFieldId="2"/>
    <tableColumn id="3" xr3:uid="{D493C8D9-40F0-47CA-9D8C-70C34141FFA7}" uniqueName="3" name="revenue_bn" queryTableFieldId="3"/>
    <tableColumn id="4" xr3:uid="{02DEEEC2-265D-415D-8D8B-F6948B1EE1B3}" uniqueName="4" name="net_income_bn" queryTableFieldId="4"/>
    <tableColumn id="5" xr3:uid="{0A32D71D-5FBF-4CA5-A82D-C5D47C2650E2}" uniqueName="5" name="rd_spending_bn" queryTableFieldId="5"/>
    <tableColumn id="6" xr3:uid="{DF47AA0A-7AE5-4DDD-A495-8308828975A2}" uniqueName="6" name="rd_intensity_pc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AD596-4825-4BD2-9850-0D18735483FC}" name="MarketScore" displayName="MarketScore" ref="A1:F16" tableType="queryTable" totalsRowShown="0">
  <autoFilter ref="A1:F16" xr:uid="{E4DAD596-4825-4BD2-9850-0D18735483FC}"/>
  <tableColumns count="6">
    <tableColumn id="1" xr3:uid="{8662CA67-6C28-43FA-9F20-FED3858FF9C1}" uniqueName="1" name="category" queryTableFieldId="1" dataDxfId="1"/>
    <tableColumn id="2" xr3:uid="{5792635C-C06B-4E5A-A312-50365CB29A4C}" uniqueName="2" name="clearances" queryTableFieldId="2"/>
    <tableColumn id="3" xr3:uid="{324EE3E0-C483-4AAD-9614-55F8AEAFE7CC}" uniqueName="3" name="adverse_events" queryTableFieldId="3"/>
    <tableColumn id="4" xr3:uid="{3F2AF5A9-BE57-4695-B127-C84991BC9077}" uniqueName="4" name="risk_ratio" queryTableFieldId="4"/>
    <tableColumn id="5" xr3:uid="{69982A52-2DD4-47B0-9685-940179F564C4}" uniqueName="5" name="active_trials" queryTableFieldId="5"/>
    <tableColumn id="6" xr3:uid="{5D2F6293-D381-4530-8833-026431AF8F34}" uniqueName="6" name="opportunity_scor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74D1-BFD4-45A4-A9A6-F62E82D4F4EE}">
  <dimension ref="A1:F99"/>
  <sheetViews>
    <sheetView tabSelected="1" topLeftCell="D1" workbookViewId="0">
      <selection activeCell="Q24" sqref="Q24"/>
    </sheetView>
  </sheetViews>
  <sheetFormatPr defaultRowHeight="14.4" x14ac:dyDescent="0.3"/>
  <cols>
    <col min="1" max="1" width="18.88671875" bestFit="1" customWidth="1"/>
    <col min="2" max="2" width="6.88671875" bestFit="1" customWidth="1"/>
    <col min="3" max="3" width="13.33203125" bestFit="1" customWidth="1"/>
    <col min="4" max="4" width="16.5546875" bestFit="1" customWidth="1"/>
    <col min="5" max="6" width="17" bestFit="1" customWidth="1"/>
  </cols>
  <sheetData>
    <row r="1" spans="1:6" x14ac:dyDescent="0.3">
      <c r="A1" t="s">
        <v>23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3">
      <c r="A2" s="2" t="s">
        <v>53</v>
      </c>
      <c r="B2">
        <v>2015</v>
      </c>
      <c r="D2">
        <v>4.423</v>
      </c>
    </row>
    <row r="3" spans="1:6" x14ac:dyDescent="0.3">
      <c r="A3" s="2" t="s">
        <v>53</v>
      </c>
      <c r="B3">
        <v>2016</v>
      </c>
      <c r="C3">
        <v>20.853000000000002</v>
      </c>
      <c r="D3">
        <v>1.4</v>
      </c>
    </row>
    <row r="4" spans="1:6" x14ac:dyDescent="0.3">
      <c r="A4" s="2" t="s">
        <v>53</v>
      </c>
      <c r="B4">
        <v>2017</v>
      </c>
      <c r="C4">
        <v>27.39</v>
      </c>
      <c r="D4">
        <v>0.60299999999999998</v>
      </c>
      <c r="E4">
        <v>2.2599999999999998</v>
      </c>
      <c r="F4">
        <v>8.3000000000000007</v>
      </c>
    </row>
    <row r="5" spans="1:6" x14ac:dyDescent="0.3">
      <c r="A5" s="2" t="s">
        <v>53</v>
      </c>
      <c r="B5">
        <v>2018</v>
      </c>
      <c r="C5">
        <v>30.577999999999999</v>
      </c>
      <c r="D5">
        <v>2.3679999999999999</v>
      </c>
      <c r="E5">
        <v>2.2999999999999998</v>
      </c>
      <c r="F5">
        <v>7.5</v>
      </c>
    </row>
    <row r="6" spans="1:6" x14ac:dyDescent="0.3">
      <c r="A6" s="2" t="s">
        <v>53</v>
      </c>
      <c r="B6">
        <v>2019</v>
      </c>
      <c r="C6">
        <v>31.904</v>
      </c>
      <c r="D6">
        <v>3.6869999999999998</v>
      </c>
      <c r="E6">
        <v>2.44</v>
      </c>
      <c r="F6">
        <v>7.6</v>
      </c>
    </row>
    <row r="7" spans="1:6" x14ac:dyDescent="0.3">
      <c r="A7" s="2" t="s">
        <v>53</v>
      </c>
      <c r="B7">
        <v>2020</v>
      </c>
      <c r="C7">
        <v>34.607999999999997</v>
      </c>
      <c r="D7">
        <v>4.4950000000000001</v>
      </c>
      <c r="E7">
        <v>2.42</v>
      </c>
      <c r="F7">
        <v>7</v>
      </c>
    </row>
    <row r="8" spans="1:6" x14ac:dyDescent="0.3">
      <c r="A8" s="2" t="s">
        <v>53</v>
      </c>
      <c r="B8">
        <v>2021</v>
      </c>
      <c r="C8">
        <v>43.075000000000003</v>
      </c>
      <c r="D8">
        <v>7.0709999999999997</v>
      </c>
      <c r="E8">
        <v>2.742</v>
      </c>
      <c r="F8">
        <v>6.4</v>
      </c>
    </row>
    <row r="9" spans="1:6" x14ac:dyDescent="0.3">
      <c r="A9" s="2" t="s">
        <v>53</v>
      </c>
      <c r="B9">
        <v>2022</v>
      </c>
      <c r="C9">
        <v>43.652999999999999</v>
      </c>
      <c r="D9">
        <v>6.9329999999999998</v>
      </c>
      <c r="E9">
        <v>2.8879999999999999</v>
      </c>
      <c r="F9">
        <v>6.6</v>
      </c>
    </row>
    <row r="10" spans="1:6" x14ac:dyDescent="0.3">
      <c r="A10" s="2" t="s">
        <v>53</v>
      </c>
      <c r="B10">
        <v>2023</v>
      </c>
      <c r="C10">
        <v>40.109000000000002</v>
      </c>
      <c r="D10">
        <v>5.7229999999999999</v>
      </c>
      <c r="E10">
        <v>2.7410000000000001</v>
      </c>
      <c r="F10">
        <v>6.8</v>
      </c>
    </row>
    <row r="11" spans="1:6" x14ac:dyDescent="0.3">
      <c r="A11" s="2" t="s">
        <v>53</v>
      </c>
      <c r="B11">
        <v>2024</v>
      </c>
      <c r="C11">
        <v>41.95</v>
      </c>
      <c r="D11">
        <v>13.401999999999999</v>
      </c>
      <c r="E11">
        <v>2.8439999999999999</v>
      </c>
      <c r="F11">
        <v>6.8</v>
      </c>
    </row>
    <row r="12" spans="1:6" x14ac:dyDescent="0.3">
      <c r="A12" s="2" t="s">
        <v>53</v>
      </c>
      <c r="B12">
        <v>2025</v>
      </c>
      <c r="C12">
        <v>44.328000000000003</v>
      </c>
      <c r="D12">
        <v>6.524</v>
      </c>
      <c r="E12">
        <v>2.9420000000000002</v>
      </c>
      <c r="F12">
        <v>6.6</v>
      </c>
    </row>
    <row r="13" spans="1:6" x14ac:dyDescent="0.3">
      <c r="A13" s="2" t="s">
        <v>54</v>
      </c>
      <c r="B13">
        <v>2015</v>
      </c>
      <c r="D13">
        <v>0.69499999999999995</v>
      </c>
      <c r="E13">
        <v>0.63200000000000001</v>
      </c>
    </row>
    <row r="14" spans="1:6" x14ac:dyDescent="0.3">
      <c r="A14" s="2" t="s">
        <v>54</v>
      </c>
      <c r="B14">
        <v>2016</v>
      </c>
      <c r="C14">
        <v>12.483000000000001</v>
      </c>
      <c r="D14">
        <v>0.97599999999999998</v>
      </c>
      <c r="E14">
        <v>0.82799999999999996</v>
      </c>
      <c r="F14">
        <v>6.6</v>
      </c>
    </row>
    <row r="15" spans="1:6" x14ac:dyDescent="0.3">
      <c r="A15" s="2" t="s">
        <v>54</v>
      </c>
      <c r="B15">
        <v>2017</v>
      </c>
      <c r="C15">
        <v>12.093</v>
      </c>
      <c r="D15">
        <v>1.1000000000000001</v>
      </c>
      <c r="E15">
        <v>0.77400000000000002</v>
      </c>
      <c r="F15">
        <v>6.4</v>
      </c>
    </row>
    <row r="16" spans="1:6" x14ac:dyDescent="0.3">
      <c r="A16" s="2" t="s">
        <v>54</v>
      </c>
      <c r="B16">
        <v>2018</v>
      </c>
      <c r="C16">
        <v>15.983000000000001</v>
      </c>
      <c r="D16">
        <v>0.59899999999999998</v>
      </c>
      <c r="E16">
        <v>1.006</v>
      </c>
      <c r="F16">
        <v>6.3</v>
      </c>
    </row>
    <row r="17" spans="1:6" x14ac:dyDescent="0.3">
      <c r="A17" s="2" t="s">
        <v>54</v>
      </c>
      <c r="B17">
        <v>2019</v>
      </c>
      <c r="C17">
        <v>17.29</v>
      </c>
      <c r="D17">
        <v>1.2330000000000001</v>
      </c>
      <c r="E17">
        <v>1.0620000000000001</v>
      </c>
      <c r="F17">
        <v>6.1</v>
      </c>
    </row>
    <row r="18" spans="1:6" x14ac:dyDescent="0.3">
      <c r="A18" s="2" t="s">
        <v>54</v>
      </c>
      <c r="B18">
        <v>2020</v>
      </c>
      <c r="C18">
        <v>17.117000000000001</v>
      </c>
      <c r="D18">
        <v>0.874</v>
      </c>
      <c r="E18">
        <v>1.0960000000000001</v>
      </c>
      <c r="F18">
        <v>6.4</v>
      </c>
    </row>
    <row r="19" spans="1:6" x14ac:dyDescent="0.3">
      <c r="A19" s="2" t="s">
        <v>54</v>
      </c>
      <c r="B19">
        <v>2021</v>
      </c>
      <c r="C19">
        <v>20.248000000000001</v>
      </c>
      <c r="D19">
        <v>2.0920000000000001</v>
      </c>
      <c r="E19">
        <v>1.339</v>
      </c>
      <c r="F19">
        <v>6.6</v>
      </c>
    </row>
    <row r="20" spans="1:6" x14ac:dyDescent="0.3">
      <c r="A20" s="2" t="s">
        <v>54</v>
      </c>
      <c r="B20">
        <v>2022</v>
      </c>
      <c r="C20">
        <v>18.87</v>
      </c>
      <c r="D20">
        <v>1.7789999999999999</v>
      </c>
      <c r="E20">
        <v>1.256</v>
      </c>
      <c r="F20">
        <v>6.7</v>
      </c>
    </row>
    <row r="21" spans="1:6" x14ac:dyDescent="0.3">
      <c r="A21" s="2" t="s">
        <v>54</v>
      </c>
      <c r="B21">
        <v>2023</v>
      </c>
      <c r="C21">
        <v>19.372</v>
      </c>
      <c r="D21">
        <v>1.484</v>
      </c>
      <c r="E21">
        <v>1.2370000000000001</v>
      </c>
      <c r="F21">
        <v>6.4</v>
      </c>
    </row>
    <row r="22" spans="1:6" x14ac:dyDescent="0.3">
      <c r="A22" s="2" t="s">
        <v>54</v>
      </c>
      <c r="B22">
        <v>2024</v>
      </c>
      <c r="C22">
        <v>20.178000000000001</v>
      </c>
      <c r="D22">
        <v>1.7050000000000001</v>
      </c>
      <c r="E22">
        <v>1.19</v>
      </c>
      <c r="F22">
        <v>5.9</v>
      </c>
    </row>
    <row r="23" spans="1:6" x14ac:dyDescent="0.3">
      <c r="A23" s="2" t="s">
        <v>54</v>
      </c>
      <c r="B23">
        <v>2025</v>
      </c>
      <c r="C23">
        <v>21.84</v>
      </c>
      <c r="D23">
        <v>1.6779999999999999</v>
      </c>
      <c r="E23">
        <v>1.2649999999999999</v>
      </c>
      <c r="F23">
        <v>5.8</v>
      </c>
    </row>
    <row r="24" spans="1:6" x14ac:dyDescent="0.3">
      <c r="A24" s="2" t="s">
        <v>55</v>
      </c>
      <c r="B24">
        <v>2016</v>
      </c>
      <c r="C24">
        <v>8.3859999999999992</v>
      </c>
    </row>
    <row r="25" spans="1:6" x14ac:dyDescent="0.3">
      <c r="A25" s="2" t="s">
        <v>55</v>
      </c>
      <c r="B25">
        <v>2017</v>
      </c>
      <c r="C25">
        <v>9.048</v>
      </c>
    </row>
    <row r="26" spans="1:6" x14ac:dyDescent="0.3">
      <c r="A26" s="2" t="s">
        <v>55</v>
      </c>
      <c r="B26">
        <v>2018</v>
      </c>
      <c r="C26">
        <v>9.8230000000000004</v>
      </c>
    </row>
    <row r="27" spans="1:6" x14ac:dyDescent="0.3">
      <c r="A27" s="2" t="s">
        <v>55</v>
      </c>
      <c r="B27">
        <v>2019</v>
      </c>
      <c r="C27">
        <v>10.734999999999999</v>
      </c>
    </row>
    <row r="28" spans="1:6" x14ac:dyDescent="0.3">
      <c r="A28" s="2" t="s">
        <v>55</v>
      </c>
      <c r="B28">
        <v>2020</v>
      </c>
      <c r="C28">
        <v>9.9130000000000003</v>
      </c>
    </row>
    <row r="29" spans="1:6" x14ac:dyDescent="0.3">
      <c r="A29" s="2" t="s">
        <v>55</v>
      </c>
      <c r="B29">
        <v>2021</v>
      </c>
      <c r="C29">
        <v>11.888</v>
      </c>
    </row>
    <row r="30" spans="1:6" x14ac:dyDescent="0.3">
      <c r="A30" s="2" t="s">
        <v>55</v>
      </c>
      <c r="B30">
        <v>2022</v>
      </c>
      <c r="C30">
        <v>12.682</v>
      </c>
    </row>
    <row r="31" spans="1:6" x14ac:dyDescent="0.3">
      <c r="A31" s="2" t="s">
        <v>55</v>
      </c>
      <c r="B31">
        <v>2023</v>
      </c>
      <c r="C31">
        <v>14.24</v>
      </c>
    </row>
    <row r="32" spans="1:6" x14ac:dyDescent="0.3">
      <c r="A32" s="2" t="s">
        <v>55</v>
      </c>
      <c r="B32">
        <v>2024</v>
      </c>
      <c r="C32">
        <v>16.747</v>
      </c>
    </row>
    <row r="33" spans="1:6" x14ac:dyDescent="0.3">
      <c r="A33" s="2" t="s">
        <v>55</v>
      </c>
      <c r="B33">
        <v>2025</v>
      </c>
      <c r="C33">
        <v>20.074000000000002</v>
      </c>
    </row>
    <row r="34" spans="1:6" x14ac:dyDescent="0.3">
      <c r="A34" s="2" t="s">
        <v>56</v>
      </c>
      <c r="B34">
        <v>2015</v>
      </c>
      <c r="C34">
        <v>0.10299999999999999</v>
      </c>
      <c r="D34">
        <v>-5.6000000000000001E-2</v>
      </c>
      <c r="E34">
        <v>1.4999999999999999E-2</v>
      </c>
      <c r="F34">
        <v>14.6</v>
      </c>
    </row>
    <row r="35" spans="1:6" x14ac:dyDescent="0.3">
      <c r="A35" s="2" t="s">
        <v>56</v>
      </c>
      <c r="B35">
        <v>2016</v>
      </c>
      <c r="C35">
        <v>8.5999999999999993E-2</v>
      </c>
      <c r="D35">
        <v>-5.7000000000000002E-2</v>
      </c>
      <c r="E35">
        <v>2.1000000000000001E-2</v>
      </c>
      <c r="F35">
        <v>24.4</v>
      </c>
    </row>
    <row r="36" spans="1:6" x14ac:dyDescent="0.3">
      <c r="A36" s="2" t="s">
        <v>56</v>
      </c>
      <c r="B36">
        <v>2017</v>
      </c>
      <c r="C36">
        <v>0.13300000000000001</v>
      </c>
      <c r="D36">
        <v>-0.127</v>
      </c>
      <c r="E36">
        <v>2.9000000000000001E-2</v>
      </c>
      <c r="F36">
        <v>21.8</v>
      </c>
    </row>
    <row r="37" spans="1:6" x14ac:dyDescent="0.3">
      <c r="A37" s="2" t="s">
        <v>56</v>
      </c>
      <c r="B37">
        <v>2018</v>
      </c>
      <c r="C37">
        <v>0.17499999999999999</v>
      </c>
      <c r="D37">
        <v>-7.8E-2</v>
      </c>
      <c r="E37">
        <v>3.4000000000000002E-2</v>
      </c>
      <c r="F37">
        <v>19.399999999999999</v>
      </c>
    </row>
    <row r="38" spans="1:6" x14ac:dyDescent="0.3">
      <c r="A38" s="2" t="s">
        <v>56</v>
      </c>
      <c r="B38">
        <v>2019</v>
      </c>
      <c r="C38">
        <v>0.23</v>
      </c>
      <c r="D38">
        <v>-1.7000000000000001E-2</v>
      </c>
      <c r="E38">
        <v>3.4000000000000002E-2</v>
      </c>
      <c r="F38">
        <v>14.8</v>
      </c>
    </row>
    <row r="39" spans="1:6" x14ac:dyDescent="0.3">
      <c r="A39" s="2" t="s">
        <v>56</v>
      </c>
      <c r="B39">
        <v>2020</v>
      </c>
      <c r="C39">
        <v>0.216</v>
      </c>
      <c r="D39">
        <v>-8.9999999999999993E-3</v>
      </c>
      <c r="E39">
        <v>2.8000000000000001E-2</v>
      </c>
      <c r="F39">
        <v>13</v>
      </c>
    </row>
    <row r="40" spans="1:6" x14ac:dyDescent="0.3">
      <c r="A40" s="2" t="s">
        <v>56</v>
      </c>
      <c r="B40">
        <v>2021</v>
      </c>
      <c r="C40">
        <v>0.502</v>
      </c>
      <c r="D40">
        <v>-0.46</v>
      </c>
      <c r="E40">
        <v>6.5000000000000002E-2</v>
      </c>
      <c r="F40">
        <v>12.9</v>
      </c>
    </row>
    <row r="41" spans="1:6" x14ac:dyDescent="0.3">
      <c r="A41" s="2" t="s">
        <v>56</v>
      </c>
      <c r="B41">
        <v>2022</v>
      </c>
      <c r="C41">
        <v>0.70099999999999996</v>
      </c>
      <c r="D41">
        <v>-0.72399999999999998</v>
      </c>
      <c r="E41">
        <v>0.1</v>
      </c>
      <c r="F41">
        <v>14.3</v>
      </c>
    </row>
    <row r="42" spans="1:6" x14ac:dyDescent="0.3">
      <c r="A42" s="2" t="s">
        <v>56</v>
      </c>
      <c r="B42">
        <v>2023</v>
      </c>
      <c r="C42">
        <v>0.89100000000000001</v>
      </c>
      <c r="D42">
        <v>-1.369</v>
      </c>
      <c r="E42">
        <v>0.114</v>
      </c>
      <c r="F42">
        <v>12.8</v>
      </c>
    </row>
    <row r="43" spans="1:6" x14ac:dyDescent="0.3">
      <c r="A43" s="2" t="s">
        <v>56</v>
      </c>
      <c r="B43">
        <v>2024</v>
      </c>
      <c r="C43">
        <v>0.629</v>
      </c>
      <c r="D43">
        <v>-2.105</v>
      </c>
      <c r="E43">
        <v>7.6999999999999999E-2</v>
      </c>
      <c r="F43">
        <v>12.2</v>
      </c>
    </row>
    <row r="44" spans="1:6" x14ac:dyDescent="0.3">
      <c r="A44" s="2" t="s">
        <v>56</v>
      </c>
      <c r="B44">
        <v>2025</v>
      </c>
      <c r="C44">
        <v>0.71</v>
      </c>
      <c r="D44">
        <v>-1.6319999999999999</v>
      </c>
      <c r="E44">
        <v>5.8000000000000003E-2</v>
      </c>
      <c r="F44">
        <v>8.1999999999999993</v>
      </c>
    </row>
    <row r="45" spans="1:6" x14ac:dyDescent="0.3">
      <c r="A45" s="2" t="s">
        <v>57</v>
      </c>
      <c r="B45">
        <v>2015</v>
      </c>
      <c r="E45">
        <v>0.38300000000000001</v>
      </c>
    </row>
    <row r="46" spans="1:6" x14ac:dyDescent="0.3">
      <c r="A46" s="2" t="s">
        <v>57</v>
      </c>
      <c r="B46">
        <v>2016</v>
      </c>
      <c r="C46">
        <v>2.964</v>
      </c>
      <c r="E46">
        <v>0.443</v>
      </c>
      <c r="F46">
        <v>14.9</v>
      </c>
    </row>
    <row r="47" spans="1:6" x14ac:dyDescent="0.3">
      <c r="A47" s="2" t="s">
        <v>57</v>
      </c>
      <c r="B47">
        <v>2017</v>
      </c>
      <c r="C47">
        <v>3.4350000000000001</v>
      </c>
      <c r="E47">
        <v>0.55300000000000005</v>
      </c>
      <c r="F47">
        <v>16.100000000000001</v>
      </c>
    </row>
    <row r="48" spans="1:6" x14ac:dyDescent="0.3">
      <c r="A48" s="2" t="s">
        <v>57</v>
      </c>
      <c r="B48">
        <v>2018</v>
      </c>
      <c r="C48">
        <v>3.7229999999999999</v>
      </c>
      <c r="E48">
        <v>0.622</v>
      </c>
      <c r="F48">
        <v>16.7</v>
      </c>
    </row>
    <row r="49" spans="1:6" x14ac:dyDescent="0.3">
      <c r="A49" s="2" t="s">
        <v>57</v>
      </c>
      <c r="B49">
        <v>2019</v>
      </c>
      <c r="C49">
        <v>4.3479999999999999</v>
      </c>
      <c r="E49">
        <v>0.753</v>
      </c>
      <c r="F49">
        <v>17.3</v>
      </c>
    </row>
    <row r="50" spans="1:6" x14ac:dyDescent="0.3">
      <c r="A50" s="2" t="s">
        <v>57</v>
      </c>
      <c r="B50">
        <v>2020</v>
      </c>
      <c r="C50">
        <v>4.3860000000000001</v>
      </c>
      <c r="E50">
        <v>0.76100000000000001</v>
      </c>
      <c r="F50">
        <v>17.399999999999999</v>
      </c>
    </row>
    <row r="51" spans="1:6" x14ac:dyDescent="0.3">
      <c r="A51" s="2" t="s">
        <v>57</v>
      </c>
      <c r="B51">
        <v>2021</v>
      </c>
      <c r="C51">
        <v>5.2320000000000002</v>
      </c>
      <c r="D51">
        <v>1.5029999999999999</v>
      </c>
      <c r="E51">
        <v>0.90300000000000002</v>
      </c>
      <c r="F51">
        <v>17.3</v>
      </c>
    </row>
    <row r="52" spans="1:6" x14ac:dyDescent="0.3">
      <c r="A52" s="2" t="s">
        <v>57</v>
      </c>
      <c r="B52">
        <v>2022</v>
      </c>
      <c r="C52">
        <v>5.3819999999999997</v>
      </c>
      <c r="D52">
        <v>1.522</v>
      </c>
      <c r="E52">
        <v>0.94499999999999995</v>
      </c>
      <c r="F52">
        <v>17.600000000000001</v>
      </c>
    </row>
    <row r="53" spans="1:6" x14ac:dyDescent="0.3">
      <c r="A53" s="2" t="s">
        <v>57</v>
      </c>
      <c r="B53">
        <v>2023</v>
      </c>
      <c r="C53">
        <v>6.0049999999999999</v>
      </c>
      <c r="D53">
        <v>1.4019999999999999</v>
      </c>
      <c r="E53">
        <v>1.0720000000000001</v>
      </c>
      <c r="F53">
        <v>17.899999999999999</v>
      </c>
    </row>
    <row r="54" spans="1:6" x14ac:dyDescent="0.3">
      <c r="A54" s="2" t="s">
        <v>57</v>
      </c>
      <c r="B54">
        <v>2024</v>
      </c>
      <c r="C54">
        <v>5.4390000000000001</v>
      </c>
      <c r="D54">
        <v>4.1749999999999998</v>
      </c>
      <c r="E54">
        <v>1.0529999999999999</v>
      </c>
      <c r="F54">
        <v>19.399999999999999</v>
      </c>
    </row>
    <row r="55" spans="1:6" x14ac:dyDescent="0.3">
      <c r="A55" s="2" t="s">
        <v>57</v>
      </c>
      <c r="B55">
        <v>2025</v>
      </c>
      <c r="C55">
        <v>6.0679999999999996</v>
      </c>
      <c r="D55">
        <v>1.073</v>
      </c>
      <c r="E55">
        <v>1.079</v>
      </c>
      <c r="F55">
        <v>17.8</v>
      </c>
    </row>
    <row r="56" spans="1:6" x14ac:dyDescent="0.3">
      <c r="A56" s="2" t="s">
        <v>58</v>
      </c>
      <c r="B56">
        <v>2015</v>
      </c>
      <c r="C56">
        <v>2.7050000000000001</v>
      </c>
      <c r="D56">
        <v>0.13200000000000001</v>
      </c>
      <c r="E56">
        <v>0.215</v>
      </c>
      <c r="F56">
        <v>7.9</v>
      </c>
    </row>
    <row r="57" spans="1:6" x14ac:dyDescent="0.3">
      <c r="A57" s="2" t="s">
        <v>58</v>
      </c>
      <c r="B57">
        <v>2016</v>
      </c>
      <c r="C57">
        <v>2.8330000000000002</v>
      </c>
      <c r="D57">
        <v>0.33100000000000002</v>
      </c>
      <c r="E57">
        <v>0.23200000000000001</v>
      </c>
      <c r="F57">
        <v>8.1999999999999993</v>
      </c>
    </row>
    <row r="58" spans="1:6" x14ac:dyDescent="0.3">
      <c r="A58" s="2" t="s">
        <v>58</v>
      </c>
      <c r="B58">
        <v>2017</v>
      </c>
      <c r="C58">
        <v>3.0590000000000002</v>
      </c>
      <c r="D58">
        <v>0.755</v>
      </c>
      <c r="E58">
        <v>0.23300000000000001</v>
      </c>
      <c r="F58">
        <v>7.6</v>
      </c>
    </row>
    <row r="59" spans="1:6" x14ac:dyDescent="0.3">
      <c r="A59" s="2" t="s">
        <v>58</v>
      </c>
      <c r="B59">
        <v>2018</v>
      </c>
      <c r="C59">
        <v>3.218</v>
      </c>
      <c r="D59">
        <v>0.113</v>
      </c>
      <c r="E59">
        <v>0.219</v>
      </c>
      <c r="F59">
        <v>6.8</v>
      </c>
    </row>
    <row r="60" spans="1:6" x14ac:dyDescent="0.3">
      <c r="A60" s="2" t="s">
        <v>58</v>
      </c>
      <c r="B60">
        <v>2019</v>
      </c>
      <c r="C60">
        <v>3.367</v>
      </c>
      <c r="D60">
        <v>0.38600000000000001</v>
      </c>
      <c r="E60">
        <v>0.23200000000000001</v>
      </c>
      <c r="F60">
        <v>6.9</v>
      </c>
    </row>
    <row r="61" spans="1:6" x14ac:dyDescent="0.3">
      <c r="A61" s="2" t="s">
        <v>58</v>
      </c>
      <c r="B61">
        <v>2020</v>
      </c>
      <c r="C61">
        <v>3.7759999999999998</v>
      </c>
      <c r="D61">
        <v>1.115</v>
      </c>
      <c r="E61">
        <v>0.223</v>
      </c>
      <c r="F61">
        <v>5.9</v>
      </c>
    </row>
    <row r="62" spans="1:6" x14ac:dyDescent="0.3">
      <c r="A62" s="2" t="s">
        <v>58</v>
      </c>
      <c r="B62">
        <v>2021</v>
      </c>
      <c r="C62">
        <v>5.6319999999999997</v>
      </c>
      <c r="D62">
        <v>1.871</v>
      </c>
      <c r="E62">
        <v>0.27600000000000002</v>
      </c>
      <c r="F62">
        <v>4.9000000000000004</v>
      </c>
    </row>
    <row r="63" spans="1:6" x14ac:dyDescent="0.3">
      <c r="A63" s="2" t="s">
        <v>58</v>
      </c>
      <c r="B63">
        <v>2022</v>
      </c>
      <c r="C63">
        <v>4.8630000000000004</v>
      </c>
      <c r="D63">
        <v>1.302</v>
      </c>
      <c r="E63">
        <v>0.28299999999999997</v>
      </c>
      <c r="F63">
        <v>5.8</v>
      </c>
    </row>
    <row r="64" spans="1:6" x14ac:dyDescent="0.3">
      <c r="A64" s="2" t="s">
        <v>58</v>
      </c>
      <c r="B64">
        <v>2023</v>
      </c>
      <c r="C64">
        <v>4.03</v>
      </c>
      <c r="D64">
        <v>0.45600000000000002</v>
      </c>
      <c r="E64">
        <v>0.29399999999999998</v>
      </c>
      <c r="F64">
        <v>7.3</v>
      </c>
    </row>
    <row r="65" spans="1:6" x14ac:dyDescent="0.3">
      <c r="A65" s="2" t="s">
        <v>58</v>
      </c>
      <c r="B65">
        <v>2024</v>
      </c>
      <c r="C65">
        <v>4.03</v>
      </c>
      <c r="D65">
        <v>0.78900000000000003</v>
      </c>
      <c r="E65">
        <v>0.27300000000000002</v>
      </c>
      <c r="F65">
        <v>6.8</v>
      </c>
    </row>
    <row r="66" spans="1:6" x14ac:dyDescent="0.3">
      <c r="A66" s="2" t="s">
        <v>58</v>
      </c>
      <c r="B66">
        <v>2025</v>
      </c>
      <c r="C66">
        <v>4.101</v>
      </c>
      <c r="D66">
        <v>0.56599999999999995</v>
      </c>
      <c r="E66">
        <v>0.248</v>
      </c>
      <c r="F66">
        <v>6</v>
      </c>
    </row>
    <row r="67" spans="1:6" x14ac:dyDescent="0.3">
      <c r="A67" s="2" t="s">
        <v>59</v>
      </c>
      <c r="B67">
        <v>2015</v>
      </c>
      <c r="D67">
        <v>0.58899999999999997</v>
      </c>
      <c r="E67">
        <v>0.19700000000000001</v>
      </c>
    </row>
    <row r="68" spans="1:6" x14ac:dyDescent="0.3">
      <c r="A68" s="2" t="s">
        <v>59</v>
      </c>
      <c r="B68">
        <v>2016</v>
      </c>
      <c r="C68">
        <v>2.7069999999999999</v>
      </c>
      <c r="D68">
        <v>0.73799999999999999</v>
      </c>
      <c r="E68">
        <v>0.24</v>
      </c>
      <c r="F68">
        <v>8.9</v>
      </c>
    </row>
    <row r="69" spans="1:6" x14ac:dyDescent="0.3">
      <c r="A69" s="2" t="s">
        <v>59</v>
      </c>
      <c r="B69">
        <v>2017</v>
      </c>
      <c r="C69">
        <v>3.1379999999999999</v>
      </c>
      <c r="D69">
        <v>0.67100000000000004</v>
      </c>
      <c r="E69">
        <v>0.32900000000000001</v>
      </c>
      <c r="F69">
        <v>10.5</v>
      </c>
    </row>
    <row r="70" spans="1:6" x14ac:dyDescent="0.3">
      <c r="A70" s="2" t="s">
        <v>59</v>
      </c>
      <c r="B70">
        <v>2018</v>
      </c>
      <c r="C70">
        <v>3.7240000000000002</v>
      </c>
      <c r="D70">
        <v>1.1279999999999999</v>
      </c>
      <c r="E70">
        <v>0.41799999999999998</v>
      </c>
      <c r="F70">
        <v>11.2</v>
      </c>
    </row>
    <row r="71" spans="1:6" x14ac:dyDescent="0.3">
      <c r="A71" s="2" t="s">
        <v>59</v>
      </c>
      <c r="B71">
        <v>2019</v>
      </c>
      <c r="C71">
        <v>4.4790000000000001</v>
      </c>
      <c r="D71">
        <v>1.379</v>
      </c>
      <c r="E71">
        <v>0.55700000000000005</v>
      </c>
      <c r="F71">
        <v>12.4</v>
      </c>
    </row>
    <row r="72" spans="1:6" x14ac:dyDescent="0.3">
      <c r="A72" s="2" t="s">
        <v>59</v>
      </c>
      <c r="B72">
        <v>2020</v>
      </c>
      <c r="C72">
        <v>4.3579999999999997</v>
      </c>
      <c r="D72">
        <v>1.0609999999999999</v>
      </c>
      <c r="E72">
        <v>0.59499999999999997</v>
      </c>
      <c r="F72">
        <v>13.7</v>
      </c>
    </row>
    <row r="73" spans="1:6" x14ac:dyDescent="0.3">
      <c r="A73" s="2" t="s">
        <v>59</v>
      </c>
      <c r="B73">
        <v>2021</v>
      </c>
      <c r="C73">
        <v>5.71</v>
      </c>
      <c r="D73">
        <v>1.7050000000000001</v>
      </c>
      <c r="E73">
        <v>0.67100000000000004</v>
      </c>
      <c r="F73">
        <v>11.8</v>
      </c>
    </row>
    <row r="74" spans="1:6" x14ac:dyDescent="0.3">
      <c r="A74" s="2" t="s">
        <v>59</v>
      </c>
      <c r="B74">
        <v>2022</v>
      </c>
      <c r="C74">
        <v>6.2220000000000004</v>
      </c>
      <c r="D74">
        <v>1.3220000000000001</v>
      </c>
      <c r="E74">
        <v>0.879</v>
      </c>
      <c r="F74">
        <v>14.1</v>
      </c>
    </row>
    <row r="75" spans="1:6" x14ac:dyDescent="0.3">
      <c r="A75" s="2" t="s">
        <v>59</v>
      </c>
      <c r="B75">
        <v>2023</v>
      </c>
      <c r="C75">
        <v>7.1239999999999997</v>
      </c>
      <c r="D75">
        <v>1.798</v>
      </c>
      <c r="E75">
        <v>0.999</v>
      </c>
      <c r="F75">
        <v>14</v>
      </c>
    </row>
    <row r="76" spans="1:6" x14ac:dyDescent="0.3">
      <c r="A76" s="2" t="s">
        <v>59</v>
      </c>
      <c r="B76">
        <v>2024</v>
      </c>
      <c r="C76">
        <v>8.3520000000000003</v>
      </c>
      <c r="D76">
        <v>2.323</v>
      </c>
      <c r="E76">
        <v>1.145</v>
      </c>
      <c r="F76">
        <v>13.7</v>
      </c>
    </row>
    <row r="77" spans="1:6" x14ac:dyDescent="0.3">
      <c r="A77" s="2" t="s">
        <v>59</v>
      </c>
      <c r="B77">
        <v>2025</v>
      </c>
      <c r="C77">
        <v>10.065</v>
      </c>
      <c r="D77">
        <v>2.8559999999999999</v>
      </c>
      <c r="E77">
        <v>1.3120000000000001</v>
      </c>
      <c r="F77">
        <v>13</v>
      </c>
    </row>
    <row r="78" spans="1:6" x14ac:dyDescent="0.3">
      <c r="A78" s="2" t="s">
        <v>60</v>
      </c>
      <c r="B78">
        <v>2015</v>
      </c>
      <c r="D78">
        <v>1.4390000000000001</v>
      </c>
      <c r="E78">
        <v>0.625</v>
      </c>
    </row>
    <row r="79" spans="1:6" x14ac:dyDescent="0.3">
      <c r="A79" s="2" t="s">
        <v>60</v>
      </c>
      <c r="B79">
        <v>2016</v>
      </c>
      <c r="C79">
        <v>11.324999999999999</v>
      </c>
      <c r="D79">
        <v>1.647</v>
      </c>
      <c r="E79">
        <v>0.71499999999999997</v>
      </c>
      <c r="F79">
        <v>6.3</v>
      </c>
    </row>
    <row r="80" spans="1:6" x14ac:dyDescent="0.3">
      <c r="A80" s="2" t="s">
        <v>60</v>
      </c>
      <c r="B80">
        <v>2017</v>
      </c>
      <c r="C80">
        <v>12.444000000000001</v>
      </c>
      <c r="D80">
        <v>1.02</v>
      </c>
      <c r="E80">
        <v>0.78700000000000003</v>
      </c>
      <c r="F80">
        <v>6.3</v>
      </c>
    </row>
    <row r="81" spans="1:6" x14ac:dyDescent="0.3">
      <c r="A81" s="2" t="s">
        <v>60</v>
      </c>
      <c r="B81">
        <v>2018</v>
      </c>
      <c r="C81">
        <v>13.601000000000001</v>
      </c>
      <c r="D81">
        <v>3.5529999999999999</v>
      </c>
      <c r="E81">
        <v>0.86199999999999999</v>
      </c>
      <c r="F81">
        <v>6.3</v>
      </c>
    </row>
    <row r="82" spans="1:6" x14ac:dyDescent="0.3">
      <c r="A82" s="2" t="s">
        <v>60</v>
      </c>
      <c r="B82">
        <v>2019</v>
      </c>
      <c r="C82">
        <v>14.884</v>
      </c>
      <c r="D82">
        <v>2.0830000000000002</v>
      </c>
      <c r="E82">
        <v>0.97099999999999997</v>
      </c>
      <c r="F82">
        <v>6.5</v>
      </c>
    </row>
    <row r="83" spans="1:6" x14ac:dyDescent="0.3">
      <c r="A83" s="2" t="s">
        <v>60</v>
      </c>
      <c r="B83">
        <v>2020</v>
      </c>
      <c r="C83">
        <v>14.351000000000001</v>
      </c>
      <c r="D83">
        <v>1.599</v>
      </c>
      <c r="E83">
        <v>0.98399999999999999</v>
      </c>
      <c r="F83">
        <v>6.9</v>
      </c>
    </row>
    <row r="84" spans="1:6" x14ac:dyDescent="0.3">
      <c r="A84" s="2" t="s">
        <v>60</v>
      </c>
      <c r="B84">
        <v>2021</v>
      </c>
      <c r="C84">
        <v>17.108000000000001</v>
      </c>
      <c r="D84">
        <v>1.994</v>
      </c>
      <c r="E84">
        <v>1.2350000000000001</v>
      </c>
      <c r="F84">
        <v>7.2</v>
      </c>
    </row>
    <row r="85" spans="1:6" x14ac:dyDescent="0.3">
      <c r="A85" s="2" t="s">
        <v>60</v>
      </c>
      <c r="B85">
        <v>2022</v>
      </c>
      <c r="C85">
        <v>18.449000000000002</v>
      </c>
      <c r="D85">
        <v>2.3580000000000001</v>
      </c>
      <c r="E85">
        <v>1.454</v>
      </c>
      <c r="F85">
        <v>7.9</v>
      </c>
    </row>
    <row r="86" spans="1:6" x14ac:dyDescent="0.3">
      <c r="A86" s="2" t="s">
        <v>60</v>
      </c>
      <c r="B86">
        <v>2023</v>
      </c>
      <c r="C86">
        <v>20.498000000000001</v>
      </c>
      <c r="D86">
        <v>3.165</v>
      </c>
      <c r="E86">
        <v>1.3879999999999999</v>
      </c>
      <c r="F86">
        <v>6.8</v>
      </c>
    </row>
    <row r="87" spans="1:6" x14ac:dyDescent="0.3">
      <c r="A87" s="2" t="s">
        <v>60</v>
      </c>
      <c r="B87">
        <v>2024</v>
      </c>
      <c r="C87">
        <v>22.594999999999999</v>
      </c>
      <c r="D87">
        <v>2.9929999999999999</v>
      </c>
      <c r="E87">
        <v>1.466</v>
      </c>
      <c r="F87">
        <v>6.5</v>
      </c>
    </row>
    <row r="88" spans="1:6" x14ac:dyDescent="0.3">
      <c r="A88" s="2" t="s">
        <v>60</v>
      </c>
      <c r="B88">
        <v>2025</v>
      </c>
      <c r="C88">
        <v>25.116</v>
      </c>
      <c r="D88">
        <v>3.246</v>
      </c>
      <c r="E88">
        <v>1.623</v>
      </c>
      <c r="F88">
        <v>6.5</v>
      </c>
    </row>
    <row r="89" spans="1:6" x14ac:dyDescent="0.3">
      <c r="A89" s="2" t="s">
        <v>61</v>
      </c>
      <c r="B89">
        <v>2015</v>
      </c>
      <c r="D89">
        <v>0.63200000000000001</v>
      </c>
    </row>
    <row r="90" spans="1:6" x14ac:dyDescent="0.3">
      <c r="A90" s="2" t="s">
        <v>61</v>
      </c>
      <c r="B90">
        <v>2016</v>
      </c>
      <c r="C90">
        <v>8.8309999999999995</v>
      </c>
      <c r="D90">
        <v>0.56799999999999995</v>
      </c>
    </row>
    <row r="91" spans="1:6" x14ac:dyDescent="0.3">
      <c r="A91" s="2" t="s">
        <v>61</v>
      </c>
      <c r="B91">
        <v>2017</v>
      </c>
      <c r="C91">
        <v>8.6679999999999993</v>
      </c>
      <c r="D91">
        <v>1.319</v>
      </c>
    </row>
    <row r="92" spans="1:6" x14ac:dyDescent="0.3">
      <c r="A92" s="2" t="s">
        <v>61</v>
      </c>
      <c r="B92">
        <v>2018</v>
      </c>
      <c r="C92">
        <v>8.423</v>
      </c>
      <c r="D92">
        <v>0.84599999999999997</v>
      </c>
    </row>
    <row r="93" spans="1:6" x14ac:dyDescent="0.3">
      <c r="A93" s="2" t="s">
        <v>61</v>
      </c>
      <c r="B93">
        <v>2019</v>
      </c>
      <c r="C93">
        <v>10.333</v>
      </c>
      <c r="D93">
        <v>0.29799999999999999</v>
      </c>
    </row>
    <row r="94" spans="1:6" x14ac:dyDescent="0.3">
      <c r="A94" s="2" t="s">
        <v>61</v>
      </c>
      <c r="B94">
        <v>2020</v>
      </c>
      <c r="C94">
        <v>12.552</v>
      </c>
      <c r="D94">
        <v>0.158</v>
      </c>
    </row>
    <row r="95" spans="1:6" x14ac:dyDescent="0.3">
      <c r="A95" s="2" t="s">
        <v>61</v>
      </c>
      <c r="B95">
        <v>2021</v>
      </c>
      <c r="C95">
        <v>13.877000000000001</v>
      </c>
      <c r="D95">
        <v>0.41699999999999998</v>
      </c>
    </row>
    <row r="96" spans="1:6" x14ac:dyDescent="0.3">
      <c r="A96" s="2" t="s">
        <v>61</v>
      </c>
      <c r="B96">
        <v>2022</v>
      </c>
      <c r="C96">
        <v>14.528</v>
      </c>
      <c r="D96">
        <v>0.27700000000000002</v>
      </c>
    </row>
    <row r="97" spans="1:4" x14ac:dyDescent="0.3">
      <c r="A97" s="2" t="s">
        <v>61</v>
      </c>
      <c r="B97">
        <v>2023</v>
      </c>
      <c r="C97">
        <v>9.8309999999999995</v>
      </c>
      <c r="D97">
        <v>0.251</v>
      </c>
    </row>
    <row r="98" spans="1:4" x14ac:dyDescent="0.3">
      <c r="A98" s="2" t="s">
        <v>61</v>
      </c>
      <c r="B98">
        <v>2024</v>
      </c>
      <c r="C98">
        <v>10.127000000000001</v>
      </c>
      <c r="D98">
        <v>1.45</v>
      </c>
    </row>
    <row r="99" spans="1:4" x14ac:dyDescent="0.3">
      <c r="A99" s="2" t="s">
        <v>61</v>
      </c>
      <c r="B99">
        <v>2025</v>
      </c>
      <c r="C99">
        <v>10.677</v>
      </c>
      <c r="D99">
        <v>0.51100000000000001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A7BA-4549-4B6E-A9A8-DB6B9E7435FA}">
  <dimension ref="A1:F16"/>
  <sheetViews>
    <sheetView topLeftCell="G2" zoomScale="138" zoomScaleNormal="190" workbookViewId="0">
      <selection activeCell="S15" sqref="S15"/>
    </sheetView>
  </sheetViews>
  <sheetFormatPr defaultRowHeight="14.4" x14ac:dyDescent="0.3"/>
  <cols>
    <col min="1" max="1" width="20.109375" bestFit="1" customWidth="1"/>
    <col min="2" max="2" width="12" bestFit="1" customWidth="1"/>
    <col min="3" max="3" width="16.44140625" bestFit="1" customWidth="1"/>
    <col min="4" max="4" width="11" bestFit="1" customWidth="1"/>
    <col min="5" max="5" width="13.21875" bestFit="1" customWidth="1"/>
    <col min="6" max="6" width="18.88671875" bestFit="1" customWidth="1"/>
  </cols>
  <sheetData>
    <row r="1" spans="1:6" x14ac:dyDescent="0.3">
      <c r="A1" t="s">
        <v>2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3">
      <c r="A2" s="2" t="s">
        <v>7</v>
      </c>
      <c r="B2">
        <v>352</v>
      </c>
      <c r="C2">
        <v>149</v>
      </c>
      <c r="D2">
        <v>0.42</v>
      </c>
      <c r="E2">
        <v>10</v>
      </c>
      <c r="F2">
        <v>16.100000000000001</v>
      </c>
    </row>
    <row r="3" spans="1:6" x14ac:dyDescent="0.3">
      <c r="A3" s="2" t="s">
        <v>4</v>
      </c>
      <c r="B3">
        <v>651</v>
      </c>
      <c r="C3">
        <v>10</v>
      </c>
      <c r="D3">
        <v>0.02</v>
      </c>
      <c r="E3">
        <v>2</v>
      </c>
      <c r="F3">
        <v>10</v>
      </c>
    </row>
    <row r="4" spans="1:6" x14ac:dyDescent="0.3">
      <c r="A4" s="2" t="s">
        <v>3</v>
      </c>
      <c r="B4">
        <v>782</v>
      </c>
      <c r="C4">
        <v>190</v>
      </c>
      <c r="D4">
        <v>0.24</v>
      </c>
      <c r="E4">
        <v>3</v>
      </c>
      <c r="F4">
        <v>4.3</v>
      </c>
    </row>
    <row r="5" spans="1:6" x14ac:dyDescent="0.3">
      <c r="A5" s="2" t="s">
        <v>6</v>
      </c>
      <c r="B5">
        <v>575</v>
      </c>
      <c r="C5">
        <v>118</v>
      </c>
      <c r="D5">
        <v>0.21</v>
      </c>
      <c r="E5">
        <v>2</v>
      </c>
      <c r="F5">
        <v>3.8</v>
      </c>
    </row>
    <row r="6" spans="1:6" x14ac:dyDescent="0.3">
      <c r="A6" s="2" t="s">
        <v>13</v>
      </c>
      <c r="B6">
        <v>120</v>
      </c>
      <c r="C6">
        <v>1</v>
      </c>
      <c r="D6">
        <v>0.01</v>
      </c>
      <c r="E6">
        <v>0</v>
      </c>
      <c r="F6">
        <v>1.1000000000000001</v>
      </c>
    </row>
    <row r="7" spans="1:6" x14ac:dyDescent="0.3">
      <c r="A7" s="2" t="s">
        <v>11</v>
      </c>
      <c r="B7">
        <v>164</v>
      </c>
      <c r="C7">
        <v>12</v>
      </c>
      <c r="D7">
        <v>7.0000000000000007E-2</v>
      </c>
      <c r="E7">
        <v>0</v>
      </c>
      <c r="F7">
        <v>1</v>
      </c>
    </row>
    <row r="8" spans="1:6" x14ac:dyDescent="0.3">
      <c r="A8" s="2" t="s">
        <v>17</v>
      </c>
      <c r="B8">
        <v>82</v>
      </c>
      <c r="C8">
        <v>3</v>
      </c>
      <c r="D8">
        <v>0.04</v>
      </c>
      <c r="E8">
        <v>0</v>
      </c>
      <c r="F8">
        <v>0.7</v>
      </c>
    </row>
    <row r="9" spans="1:6" x14ac:dyDescent="0.3">
      <c r="A9" s="2" t="s">
        <v>15</v>
      </c>
      <c r="B9">
        <v>115</v>
      </c>
      <c r="C9">
        <v>12</v>
      </c>
      <c r="D9">
        <v>0.1</v>
      </c>
      <c r="E9">
        <v>0</v>
      </c>
      <c r="F9">
        <v>0.5</v>
      </c>
    </row>
    <row r="10" spans="1:6" x14ac:dyDescent="0.3">
      <c r="A10" s="2" t="s">
        <v>10</v>
      </c>
      <c r="B10">
        <v>270</v>
      </c>
      <c r="C10">
        <v>47</v>
      </c>
      <c r="D10">
        <v>0.17</v>
      </c>
      <c r="E10">
        <v>0</v>
      </c>
      <c r="F10">
        <v>0.4</v>
      </c>
    </row>
    <row r="11" spans="1:6" x14ac:dyDescent="0.3">
      <c r="A11" s="2" t="s">
        <v>20</v>
      </c>
      <c r="B11">
        <v>40</v>
      </c>
      <c r="C11">
        <v>0</v>
      </c>
      <c r="D11">
        <v>0</v>
      </c>
      <c r="E11">
        <v>0</v>
      </c>
      <c r="F11">
        <v>0.4</v>
      </c>
    </row>
    <row r="12" spans="1:6" x14ac:dyDescent="0.3">
      <c r="A12" s="2" t="s">
        <v>21</v>
      </c>
      <c r="B12">
        <v>28</v>
      </c>
      <c r="C12">
        <v>0</v>
      </c>
      <c r="D12">
        <v>0</v>
      </c>
      <c r="E12">
        <v>0</v>
      </c>
      <c r="F12">
        <v>0.3</v>
      </c>
    </row>
    <row r="13" spans="1:6" x14ac:dyDescent="0.3">
      <c r="A13" s="2" t="s">
        <v>16</v>
      </c>
      <c r="B13">
        <v>134</v>
      </c>
      <c r="C13">
        <v>26</v>
      </c>
      <c r="D13">
        <v>0.19</v>
      </c>
      <c r="E13">
        <v>0</v>
      </c>
      <c r="F13">
        <v>0</v>
      </c>
    </row>
    <row r="14" spans="1:6" x14ac:dyDescent="0.3">
      <c r="A14" s="2" t="s">
        <v>18</v>
      </c>
      <c r="B14">
        <v>62</v>
      </c>
      <c r="C14">
        <v>12</v>
      </c>
      <c r="D14">
        <v>0.19</v>
      </c>
      <c r="E14">
        <v>0</v>
      </c>
      <c r="F14">
        <v>0</v>
      </c>
    </row>
    <row r="15" spans="1:6" x14ac:dyDescent="0.3">
      <c r="A15" s="2" t="s">
        <v>19</v>
      </c>
      <c r="B15">
        <v>46</v>
      </c>
      <c r="C15">
        <v>13</v>
      </c>
      <c r="D15">
        <v>0.28000000000000003</v>
      </c>
      <c r="E15">
        <v>0</v>
      </c>
      <c r="F15">
        <v>-0.2</v>
      </c>
    </row>
    <row r="16" spans="1:6" x14ac:dyDescent="0.3">
      <c r="A16" s="2" t="s">
        <v>5</v>
      </c>
      <c r="B16">
        <v>570</v>
      </c>
      <c r="C16">
        <v>122</v>
      </c>
      <c r="D16">
        <v>0.21</v>
      </c>
      <c r="E16">
        <v>0</v>
      </c>
      <c r="F16">
        <v>-0.4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opLeftCell="B2" zoomScale="136" workbookViewId="0">
      <selection activeCell="D8" sqref="D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2015</v>
      </c>
      <c r="B2">
        <v>98</v>
      </c>
    </row>
    <row r="3" spans="1:2" x14ac:dyDescent="0.3">
      <c r="A3">
        <v>2016</v>
      </c>
      <c r="B3">
        <v>106</v>
      </c>
    </row>
    <row r="4" spans="1:2" x14ac:dyDescent="0.3">
      <c r="A4">
        <v>2017</v>
      </c>
      <c r="B4">
        <v>119</v>
      </c>
    </row>
    <row r="5" spans="1:2" x14ac:dyDescent="0.3">
      <c r="A5">
        <v>2018</v>
      </c>
      <c r="B5">
        <v>84</v>
      </c>
    </row>
    <row r="6" spans="1:2" x14ac:dyDescent="0.3">
      <c r="A6">
        <v>2019</v>
      </c>
      <c r="B6">
        <v>66</v>
      </c>
    </row>
    <row r="7" spans="1:2" x14ac:dyDescent="0.3">
      <c r="A7">
        <v>2020</v>
      </c>
      <c r="B7">
        <v>72</v>
      </c>
    </row>
    <row r="8" spans="1:2" x14ac:dyDescent="0.3">
      <c r="A8">
        <v>2021</v>
      </c>
      <c r="B8">
        <v>83</v>
      </c>
    </row>
    <row r="9" spans="1:2" x14ac:dyDescent="0.3">
      <c r="A9">
        <v>2022</v>
      </c>
      <c r="B9">
        <v>71</v>
      </c>
    </row>
    <row r="10" spans="1:2" x14ac:dyDescent="0.3">
      <c r="A10">
        <v>2023</v>
      </c>
      <c r="B10">
        <v>103</v>
      </c>
    </row>
    <row r="11" spans="1:2" x14ac:dyDescent="0.3">
      <c r="A11">
        <v>2024</v>
      </c>
      <c r="B11">
        <v>75</v>
      </c>
    </row>
    <row r="12" spans="1:2" x14ac:dyDescent="0.3">
      <c r="A12">
        <v>2025</v>
      </c>
      <c r="B12">
        <v>107</v>
      </c>
    </row>
    <row r="13" spans="1:2" ht="13.8" customHeight="1" x14ac:dyDescent="0.3">
      <c r="A13">
        <v>2026</v>
      </c>
      <c r="B13">
        <v>16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1</v>
      </c>
    </row>
    <row r="2" spans="1:2" x14ac:dyDescent="0.3">
      <c r="A2" t="s">
        <v>3</v>
      </c>
      <c r="B2">
        <v>151</v>
      </c>
    </row>
    <row r="3" spans="1:2" x14ac:dyDescent="0.3">
      <c r="A3" t="s">
        <v>4</v>
      </c>
      <c r="B3">
        <v>134</v>
      </c>
    </row>
    <row r="4" spans="1:2" x14ac:dyDescent="0.3">
      <c r="A4" t="s">
        <v>5</v>
      </c>
      <c r="B4">
        <v>134</v>
      </c>
    </row>
    <row r="5" spans="1:2" x14ac:dyDescent="0.3">
      <c r="A5" t="s">
        <v>6</v>
      </c>
      <c r="B5">
        <v>119</v>
      </c>
    </row>
    <row r="6" spans="1:2" x14ac:dyDescent="0.3">
      <c r="A6" t="s">
        <v>7</v>
      </c>
      <c r="B6">
        <v>79</v>
      </c>
    </row>
    <row r="7" spans="1:2" x14ac:dyDescent="0.3">
      <c r="A7" t="s">
        <v>8</v>
      </c>
      <c r="B7">
        <v>77</v>
      </c>
    </row>
    <row r="8" spans="1:2" x14ac:dyDescent="0.3">
      <c r="A8" t="s">
        <v>9</v>
      </c>
      <c r="B8">
        <v>56</v>
      </c>
    </row>
    <row r="9" spans="1:2" x14ac:dyDescent="0.3">
      <c r="A9" t="s">
        <v>10</v>
      </c>
      <c r="B9">
        <v>55</v>
      </c>
    </row>
    <row r="10" spans="1:2" x14ac:dyDescent="0.3">
      <c r="A10" t="s">
        <v>11</v>
      </c>
      <c r="B10">
        <v>28</v>
      </c>
    </row>
    <row r="11" spans="1:2" x14ac:dyDescent="0.3">
      <c r="A11" t="s">
        <v>12</v>
      </c>
      <c r="B11">
        <v>28</v>
      </c>
    </row>
    <row r="12" spans="1:2" x14ac:dyDescent="0.3">
      <c r="A12" t="s">
        <v>13</v>
      </c>
      <c r="B12">
        <v>25</v>
      </c>
    </row>
    <row r="13" spans="1:2" x14ac:dyDescent="0.3">
      <c r="A13" t="s">
        <v>14</v>
      </c>
      <c r="B13">
        <v>23</v>
      </c>
    </row>
    <row r="14" spans="1:2" x14ac:dyDescent="0.3">
      <c r="A14" t="s">
        <v>15</v>
      </c>
      <c r="B14">
        <v>22</v>
      </c>
    </row>
    <row r="15" spans="1:2" x14ac:dyDescent="0.3">
      <c r="A15" t="s">
        <v>16</v>
      </c>
      <c r="B15">
        <v>22</v>
      </c>
    </row>
    <row r="16" spans="1:2" x14ac:dyDescent="0.3">
      <c r="A16" t="s">
        <v>17</v>
      </c>
      <c r="B16">
        <v>15</v>
      </c>
    </row>
    <row r="17" spans="1:2" x14ac:dyDescent="0.3">
      <c r="A17" t="s">
        <v>18</v>
      </c>
      <c r="B17">
        <v>12</v>
      </c>
    </row>
    <row r="18" spans="1:2" x14ac:dyDescent="0.3">
      <c r="A18" t="s">
        <v>19</v>
      </c>
      <c r="B18">
        <v>9</v>
      </c>
    </row>
    <row r="19" spans="1:2" x14ac:dyDescent="0.3">
      <c r="A19" t="s">
        <v>20</v>
      </c>
      <c r="B19">
        <v>6</v>
      </c>
    </row>
    <row r="20" spans="1:2" x14ac:dyDescent="0.3">
      <c r="A20" t="s">
        <v>21</v>
      </c>
      <c r="B20">
        <v>4</v>
      </c>
    </row>
    <row r="21" spans="1:2" x14ac:dyDescent="0.3">
      <c r="A21" t="s">
        <v>22</v>
      </c>
      <c r="B2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23</v>
      </c>
      <c r="B1" s="1" t="s">
        <v>1</v>
      </c>
    </row>
    <row r="2" spans="1:2" x14ac:dyDescent="0.3">
      <c r="A2" t="s">
        <v>24</v>
      </c>
      <c r="B2">
        <v>8</v>
      </c>
    </row>
    <row r="3" spans="1:2" x14ac:dyDescent="0.3">
      <c r="A3" t="s">
        <v>25</v>
      </c>
      <c r="B3">
        <v>8</v>
      </c>
    </row>
    <row r="4" spans="1:2" x14ac:dyDescent="0.3">
      <c r="A4" t="s">
        <v>26</v>
      </c>
      <c r="B4">
        <v>6</v>
      </c>
    </row>
    <row r="5" spans="1:2" x14ac:dyDescent="0.3">
      <c r="A5" t="s">
        <v>27</v>
      </c>
      <c r="B5">
        <v>5</v>
      </c>
    </row>
    <row r="6" spans="1:2" x14ac:dyDescent="0.3">
      <c r="A6" t="s">
        <v>28</v>
      </c>
      <c r="B6">
        <v>5</v>
      </c>
    </row>
    <row r="7" spans="1:2" x14ac:dyDescent="0.3">
      <c r="A7" t="s">
        <v>29</v>
      </c>
      <c r="B7">
        <v>5</v>
      </c>
    </row>
    <row r="8" spans="1:2" x14ac:dyDescent="0.3">
      <c r="A8" t="s">
        <v>30</v>
      </c>
      <c r="B8">
        <v>4</v>
      </c>
    </row>
    <row r="9" spans="1:2" x14ac:dyDescent="0.3">
      <c r="A9" t="s">
        <v>31</v>
      </c>
      <c r="B9">
        <v>4</v>
      </c>
    </row>
    <row r="10" spans="1:2" x14ac:dyDescent="0.3">
      <c r="A10" t="s">
        <v>32</v>
      </c>
      <c r="B10">
        <v>4</v>
      </c>
    </row>
    <row r="11" spans="1:2" x14ac:dyDescent="0.3">
      <c r="A11" t="s">
        <v>33</v>
      </c>
      <c r="B11">
        <v>4</v>
      </c>
    </row>
    <row r="12" spans="1:2" x14ac:dyDescent="0.3">
      <c r="A12" t="s">
        <v>34</v>
      </c>
      <c r="B12">
        <v>4</v>
      </c>
    </row>
    <row r="13" spans="1:2" x14ac:dyDescent="0.3">
      <c r="A13" t="s">
        <v>35</v>
      </c>
      <c r="B13">
        <v>4</v>
      </c>
    </row>
    <row r="14" spans="1:2" x14ac:dyDescent="0.3">
      <c r="A14" t="s">
        <v>36</v>
      </c>
      <c r="B14">
        <v>4</v>
      </c>
    </row>
    <row r="15" spans="1:2" x14ac:dyDescent="0.3">
      <c r="A15" t="s">
        <v>37</v>
      </c>
      <c r="B15">
        <v>4</v>
      </c>
    </row>
    <row r="16" spans="1:2" x14ac:dyDescent="0.3">
      <c r="A16" t="s">
        <v>38</v>
      </c>
      <c r="B16">
        <v>4</v>
      </c>
    </row>
    <row r="17" spans="1:2" x14ac:dyDescent="0.3">
      <c r="A17" t="s">
        <v>39</v>
      </c>
      <c r="B17">
        <v>3</v>
      </c>
    </row>
    <row r="18" spans="1:2" x14ac:dyDescent="0.3">
      <c r="A18" t="s">
        <v>40</v>
      </c>
      <c r="B18">
        <v>3</v>
      </c>
    </row>
    <row r="19" spans="1:2" x14ac:dyDescent="0.3">
      <c r="A19" t="s">
        <v>41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43</v>
      </c>
      <c r="B21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6F1BB-8C62-4D2A-A563-C727B0892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rndVSrevenue</vt:lpstr>
      <vt:lpstr>MarketScore</vt:lpstr>
      <vt:lpstr>Yearly Clearances</vt:lpstr>
      <vt:lpstr>Device Categories</vt:lpstr>
      <vt:lpstr>Top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Ignatius Gilbert</cp:lastModifiedBy>
  <dcterms:created xsi:type="dcterms:W3CDTF">2026-04-07T17:43:10Z</dcterms:created>
  <dcterms:modified xsi:type="dcterms:W3CDTF">2026-04-09T16:04:37Z</dcterms:modified>
</cp:coreProperties>
</file>